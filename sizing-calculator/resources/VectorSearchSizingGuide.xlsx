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filterPrivacy="1"/>
  <xr:revisionPtr revIDLastSave="0" documentId="8_{D117AE4A-6834-3243-BE3B-0A5F2E7B99A5}"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D23" i="1" s="1"/>
  <c r="D24" i="1" s="1"/>
  <c r="D25" i="1" s="1"/>
  <c r="D27" i="1" s="1"/>
  <c r="D6" i="1"/>
  <c r="D17" i="1" s="1"/>
  <c r="D22" i="1" l="1"/>
  <c r="D26" i="1" s="1"/>
  <c r="D18" i="1"/>
  <c r="D19" i="1" s="1"/>
  <c r="D28" i="1" s="1"/>
</calcChain>
</file>

<file path=xl/sharedStrings.xml><?xml version="1.0" encoding="utf-8"?>
<sst xmlns="http://schemas.openxmlformats.org/spreadsheetml/2006/main" count="85" uniqueCount="55">
  <si>
    <t>Field Type</t>
  </si>
  <si>
    <t>Field</t>
  </si>
  <si>
    <t>Value</t>
  </si>
  <si>
    <t>Unit</t>
  </si>
  <si>
    <t>Justification</t>
  </si>
  <si>
    <t>Known Input</t>
  </si>
  <si>
    <t>Number of documents</t>
  </si>
  <si>
    <t>Customer input - number of documents to be added in the index</t>
  </si>
  <si>
    <t>Vectors/chunks per document</t>
  </si>
  <si>
    <t>Customer input - number of chunks or vectors present in one document</t>
  </si>
  <si>
    <t>Vector dimension</t>
  </si>
  <si>
    <t>Customer input</t>
  </si>
  <si>
    <t>No. of vectors</t>
  </si>
  <si>
    <t>m (HNSW algorithm parameter)</t>
  </si>
  <si>
    <t>Default value is 16 in Opensearch</t>
  </si>
  <si>
    <t>Number of replica Shards per primary shard</t>
  </si>
  <si>
    <t>Default replica count is 1 in Opensearch</t>
  </si>
  <si>
    <t>Tunable Parameter</t>
  </si>
  <si>
    <t>HNSW graph size per shard</t>
  </si>
  <si>
    <t>GB</t>
  </si>
  <si>
    <t>Observation from customers - 10-30 GB is the ideal range - lesser graph size means better search latency - however, too small graph will lead to more number of shards and add to management overhead</t>
  </si>
  <si>
    <t>Ratio of shard size / graph size</t>
  </si>
  <si>
    <t>Observed when ingested document contains only one vector. If document contains more fields, the ratio will be more than 1.8 - this can be calculated by ingesting a small representative dataset and computing the ratio of actual shard size to calculated HNSW graph size</t>
  </si>
  <si>
    <t>Number of shards per data node (primary + replica)</t>
  </si>
  <si>
    <t>No recommended range - however, one primary shard per node is observed to have best performance but keeping this too low can increase number of nodes</t>
  </si>
  <si>
    <t>Ratio of memory to OCPUs</t>
  </si>
  <si>
    <t>Although the recommendation is 1:8, we have observed decent performance for vector search with 1:10, in some cases upto 1:20. Keeping this ratio lower would mean higher number of CPUs and higher cost. Recommend to start with a good value and reduce if cpu pressure is not seen</t>
  </si>
  <si>
    <t>Safety buffer for total memory</t>
  </si>
  <si>
    <t>%</t>
  </si>
  <si>
    <t>We recommend keeping some extra memory buffer than actual required memory so that opensearch can absorb spikes in load</t>
  </si>
  <si>
    <t>Safey buffer for storage</t>
  </si>
  <si>
    <t>Keeping storage buffer can benefit in providing higher IOPS from Block Volume which is used by OCI Opensearch to store the data. Vector search involves reading large chunks of data and higher IOPS prevent throttling from Block Volume. Since storage is cheaper, it is recommended to keep a high safety buffer for having higher IOPS.</t>
  </si>
  <si>
    <t>Derived Output</t>
  </si>
  <si>
    <t>Total size of HNSW graph (considering only primary shards)</t>
  </si>
  <si>
    <t>Each vector occupies 1.1*(8*m+4*d) bytes. Source: https://docs.opensearch.org/2.12/search-plugins/knn/knn-index/#hnsw-memory-estimation</t>
  </si>
  <si>
    <t>Total data size (considering only primary shards)</t>
  </si>
  <si>
    <t>(Ratio of shard size/graph size) * total graph size</t>
  </si>
  <si>
    <t>Total data size (considering both primary and replica shards)</t>
  </si>
  <si>
    <t>Total primary shard data size * (1 + replica count)</t>
  </si>
  <si>
    <t>Shard size</t>
  </si>
  <si>
    <t>(Ratio of shard size/graph size) * (graph size for that shard)</t>
  </si>
  <si>
    <t>Total no. of primary shards</t>
  </si>
  <si>
    <t>Total HNSW graph size for primary shards / HNSW graph size per shard (Rounded up to an integer)</t>
  </si>
  <si>
    <t>Minimum Off Heap memory per data node</t>
  </si>
  <si>
    <t>Shard size * no. of shards per data node - here, we are assuming that entire shard will be kept in off heap memory rather than its HNSW graph only - this is a safety factor so that enough memory is available for both Opensearch as well as underlying OS background processes.</t>
  </si>
  <si>
    <t>Minimum total memory per data node</t>
  </si>
  <si>
    <t>Double of off heap memory - In OCI Opensearch, 50% memory is allocated to heap - this is also the recommended practice for opensearch</t>
  </si>
  <si>
    <t>Total memory per data node</t>
  </si>
  <si>
    <t>Added safety buffer for total memory</t>
  </si>
  <si>
    <t>Number of data nodes</t>
  </si>
  <si>
    <t>Total no. of shards / shards per data node; total no. of shards = no. of primary shards * (1 + replica count); The final figure is rounded up to an integer</t>
  </si>
  <si>
    <t>Number of OCPUs per data node</t>
  </si>
  <si>
    <t>Memory per data node / ratio of memory to OCPUs (rounded up to an integer)</t>
  </si>
  <si>
    <t>Block Storage per data node</t>
  </si>
  <si>
    <t>(Total data size / no. of data nodes) * ((100 + storage safety buffer)/100) rounded up to a multiple of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</si>
</sst>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font>
  </fonts>
  <fills count="4">
    <fill>
      <patternFill patternType="none"/>
    </fill>
    <fill>
      <patternFill patternType="gray125"/>
    </fill>
    <fill>
      <patternFill patternType="solid">
        <fgColor rgb="FFFFF2CC"/>
      </patternFill>
    </fill>
    <fill>
      <patternFill patternType="solid">
        <fgColor rgb="FFCFE2F3"/>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2" fillId="0" borderId="0" xfId="0" applyFont="1" applyAlignment="1">
      <alignment vertical="center"/>
    </xf>
    <xf numFmtId="0" fontId="2" fillId="0" borderId="0" xfId="0" applyFont="1"/>
    <xf numFmtId="0" fontId="2" fillId="0" borderId="0" xfId="0" applyFont="1" applyAlignment="1">
      <alignment horizontal="right" vertical="center"/>
    </xf>
    <xf numFmtId="0" fontId="2" fillId="0" borderId="0" xfId="0" applyFont="1" applyAlignment="1">
      <alignment horizontal="right"/>
    </xf>
    <xf numFmtId="0" fontId="2" fillId="0" borderId="0" xfId="0" applyFont="1" applyAlignment="1">
      <alignment vertical="center"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63"/>
  <sheetViews>
    <sheetView tabSelected="1" workbookViewId="0">
      <selection activeCell="D17" sqref="D17"/>
    </sheetView>
  </sheetViews>
  <sheetFormatPr baseColWidth="10" defaultColWidth="8.83203125" defaultRowHeight="15" x14ac:dyDescent="0.2"/>
  <cols>
    <col min="1" max="1" width="5" customWidth="1"/>
    <col min="2" max="2" width="15" customWidth="1"/>
    <col min="3" max="3" width="39" customWidth="1"/>
    <col min="4" max="4" width="11" customWidth="1"/>
    <col min="6" max="6" width="73" customWidth="1"/>
  </cols>
  <sheetData>
    <row r="2" spans="2:27" x14ac:dyDescent="0.2">
      <c r="B2" s="1" t="s">
        <v>0</v>
      </c>
      <c r="C2" s="1" t="s">
        <v>1</v>
      </c>
      <c r="D2" s="1" t="s">
        <v>2</v>
      </c>
      <c r="E2" s="1" t="s">
        <v>3</v>
      </c>
      <c r="F2" s="1" t="s">
        <v>4</v>
      </c>
      <c r="G2" s="2"/>
      <c r="H2" s="2"/>
      <c r="I2" s="2"/>
      <c r="J2" s="2"/>
      <c r="K2" s="2"/>
      <c r="L2" s="2"/>
      <c r="M2" s="2"/>
      <c r="N2" s="2"/>
      <c r="O2" s="2"/>
      <c r="P2" s="2"/>
      <c r="Q2" s="2"/>
      <c r="R2" s="2"/>
      <c r="S2" s="2"/>
      <c r="T2" s="2"/>
      <c r="U2" s="2"/>
      <c r="V2" s="2"/>
      <c r="W2" s="2"/>
      <c r="X2" s="2"/>
      <c r="Y2" s="2"/>
      <c r="Z2" s="2"/>
      <c r="AA2" s="2"/>
    </row>
    <row r="3" spans="2:27" x14ac:dyDescent="0.2">
      <c r="B3" s="3" t="s">
        <v>5</v>
      </c>
      <c r="C3" s="3" t="s">
        <v>6</v>
      </c>
      <c r="D3" s="4">
        <v>2000000000</v>
      </c>
      <c r="F3" s="3" t="s">
        <v>7</v>
      </c>
    </row>
    <row r="4" spans="2:27" x14ac:dyDescent="0.2">
      <c r="B4" s="3" t="s">
        <v>5</v>
      </c>
      <c r="C4" s="3" t="s">
        <v>8</v>
      </c>
      <c r="D4" s="5">
        <v>1</v>
      </c>
      <c r="F4" s="3" t="s">
        <v>9</v>
      </c>
    </row>
    <row r="5" spans="2:27" x14ac:dyDescent="0.2">
      <c r="B5" s="2" t="s">
        <v>5</v>
      </c>
      <c r="C5" s="2" t="s">
        <v>10</v>
      </c>
      <c r="D5" s="4">
        <v>768</v>
      </c>
      <c r="E5" s="2"/>
      <c r="F5" s="2" t="s">
        <v>11</v>
      </c>
      <c r="G5" s="2"/>
      <c r="H5" s="2"/>
      <c r="I5" s="2"/>
      <c r="J5" s="2"/>
      <c r="K5" s="2"/>
      <c r="L5" s="2"/>
      <c r="M5" s="2"/>
      <c r="N5" s="2"/>
      <c r="O5" s="2"/>
      <c r="P5" s="2"/>
      <c r="Q5" s="2"/>
      <c r="R5" s="2"/>
      <c r="S5" s="2"/>
      <c r="T5" s="2"/>
      <c r="U5" s="2"/>
      <c r="V5" s="2"/>
      <c r="W5" s="2"/>
      <c r="X5" s="2"/>
      <c r="Y5" s="2"/>
      <c r="Z5" s="2"/>
      <c r="AA5" s="2"/>
    </row>
    <row r="6" spans="2:27" x14ac:dyDescent="0.2">
      <c r="B6" s="2" t="s">
        <v>5</v>
      </c>
      <c r="C6" s="2" t="s">
        <v>12</v>
      </c>
      <c r="D6" s="4">
        <f>PRODUCT(D3:D4)</f>
        <v>2000000000</v>
      </c>
      <c r="E6" s="2"/>
      <c r="F6" s="2" t="s">
        <v>11</v>
      </c>
      <c r="G6" s="2"/>
      <c r="H6" s="2"/>
      <c r="I6" s="2"/>
      <c r="J6" s="2"/>
      <c r="K6" s="2"/>
      <c r="L6" s="2"/>
      <c r="M6" s="2"/>
      <c r="N6" s="2"/>
      <c r="O6" s="2"/>
      <c r="P6" s="2"/>
      <c r="Q6" s="2"/>
      <c r="R6" s="2"/>
      <c r="S6" s="2"/>
      <c r="T6" s="2"/>
      <c r="U6" s="2"/>
      <c r="V6" s="2"/>
      <c r="W6" s="2"/>
      <c r="X6" s="2"/>
      <c r="Y6" s="2"/>
      <c r="Z6" s="2"/>
      <c r="AA6" s="2"/>
    </row>
    <row r="7" spans="2:27" x14ac:dyDescent="0.2">
      <c r="B7" s="2" t="s">
        <v>5</v>
      </c>
      <c r="C7" s="2" t="s">
        <v>13</v>
      </c>
      <c r="D7" s="4">
        <v>16</v>
      </c>
      <c r="E7" s="2"/>
      <c r="F7" s="2" t="s">
        <v>14</v>
      </c>
      <c r="G7" s="2"/>
      <c r="H7" s="2"/>
      <c r="I7" s="2"/>
      <c r="J7" s="2"/>
      <c r="K7" s="2"/>
      <c r="L7" s="2"/>
      <c r="M7" s="2"/>
      <c r="N7" s="2"/>
      <c r="O7" s="2"/>
      <c r="P7" s="2"/>
      <c r="Q7" s="2"/>
      <c r="R7" s="2"/>
      <c r="S7" s="2"/>
      <c r="T7" s="2"/>
      <c r="U7" s="2"/>
      <c r="V7" s="2"/>
      <c r="W7" s="2"/>
      <c r="X7" s="2"/>
      <c r="Y7" s="2"/>
      <c r="Z7" s="2"/>
      <c r="AA7" s="2"/>
    </row>
    <row r="8" spans="2:27" x14ac:dyDescent="0.2">
      <c r="B8" s="2" t="s">
        <v>5</v>
      </c>
      <c r="C8" s="2" t="s">
        <v>15</v>
      </c>
      <c r="D8" s="4">
        <v>1</v>
      </c>
      <c r="E8" s="2"/>
      <c r="F8" s="2" t="s">
        <v>16</v>
      </c>
      <c r="G8" s="2"/>
      <c r="H8" s="2"/>
      <c r="I8" s="2"/>
      <c r="J8" s="2"/>
      <c r="K8" s="2"/>
      <c r="L8" s="2"/>
      <c r="M8" s="2"/>
      <c r="N8" s="2"/>
      <c r="O8" s="2"/>
      <c r="P8" s="2"/>
      <c r="Q8" s="2"/>
      <c r="R8" s="2"/>
      <c r="S8" s="2"/>
      <c r="T8" s="2"/>
      <c r="U8" s="2"/>
      <c r="V8" s="2"/>
      <c r="W8" s="2"/>
      <c r="X8" s="2"/>
      <c r="Y8" s="2"/>
      <c r="Z8" s="2"/>
      <c r="AA8" s="2"/>
    </row>
    <row r="9" spans="2:27" ht="37" customHeight="1" x14ac:dyDescent="0.2">
      <c r="B9" s="7"/>
      <c r="C9" s="7"/>
      <c r="D9" s="7"/>
      <c r="E9" s="7"/>
      <c r="F9" s="7"/>
      <c r="G9" s="2"/>
      <c r="H9" s="2"/>
      <c r="I9" s="2"/>
      <c r="J9" s="2"/>
      <c r="K9" s="2"/>
      <c r="L9" s="2"/>
      <c r="M9" s="2"/>
      <c r="N9" s="2"/>
      <c r="O9" s="2"/>
      <c r="P9" s="2"/>
      <c r="Q9" s="2"/>
      <c r="R9" s="2"/>
      <c r="S9" s="2"/>
      <c r="T9" s="2"/>
      <c r="U9" s="2"/>
      <c r="V9" s="2"/>
      <c r="W9" s="2"/>
      <c r="X9" s="2"/>
      <c r="Y9" s="2"/>
      <c r="Z9" s="2"/>
      <c r="AA9" s="2"/>
    </row>
    <row r="10" spans="2:27" ht="48" customHeight="1" x14ac:dyDescent="0.2">
      <c r="B10" s="6" t="s">
        <v>17</v>
      </c>
      <c r="C10" s="2" t="s">
        <v>18</v>
      </c>
      <c r="D10" s="4">
        <v>20</v>
      </c>
      <c r="E10" s="2" t="s">
        <v>19</v>
      </c>
      <c r="F10" s="6" t="s">
        <v>20</v>
      </c>
      <c r="G10" s="2"/>
      <c r="H10" s="2"/>
      <c r="I10" s="2"/>
      <c r="J10" s="2"/>
      <c r="K10" s="2"/>
      <c r="L10" s="2"/>
      <c r="M10" s="2"/>
      <c r="N10" s="2"/>
      <c r="O10" s="2"/>
      <c r="P10" s="2"/>
      <c r="Q10" s="2"/>
      <c r="R10" s="2"/>
      <c r="S10" s="2"/>
      <c r="T10" s="2"/>
      <c r="U10" s="2"/>
      <c r="V10" s="2"/>
      <c r="W10" s="2"/>
      <c r="X10" s="2"/>
      <c r="Y10" s="2"/>
      <c r="Z10" s="2"/>
      <c r="AA10" s="2"/>
    </row>
    <row r="11" spans="2:27" ht="45.75" customHeight="1" x14ac:dyDescent="0.2">
      <c r="B11" s="6" t="s">
        <v>17</v>
      </c>
      <c r="C11" s="2" t="s">
        <v>21</v>
      </c>
      <c r="D11" s="4">
        <v>1.8</v>
      </c>
      <c r="E11" s="2"/>
      <c r="F11" s="6" t="s">
        <v>22</v>
      </c>
      <c r="G11" s="2"/>
      <c r="H11" s="2"/>
      <c r="I11" s="2"/>
      <c r="J11" s="2"/>
      <c r="K11" s="2"/>
      <c r="L11" s="2"/>
      <c r="M11" s="2"/>
      <c r="N11" s="2"/>
      <c r="O11" s="2"/>
      <c r="P11" s="2"/>
      <c r="Q11" s="2"/>
      <c r="R11" s="2"/>
      <c r="S11" s="2"/>
      <c r="T11" s="2"/>
      <c r="U11" s="2"/>
      <c r="V11" s="2"/>
      <c r="W11" s="2"/>
      <c r="X11" s="2"/>
      <c r="Y11" s="2"/>
      <c r="Z11" s="2"/>
      <c r="AA11" s="2"/>
    </row>
    <row r="12" spans="2:27" ht="30.5" customHeight="1" x14ac:dyDescent="0.2">
      <c r="B12" s="6" t="s">
        <v>17</v>
      </c>
      <c r="C12" s="2" t="s">
        <v>23</v>
      </c>
      <c r="D12" s="4">
        <v>8</v>
      </c>
      <c r="E12" s="2"/>
      <c r="F12" s="6" t="s">
        <v>24</v>
      </c>
      <c r="G12" s="2"/>
      <c r="H12" s="2"/>
      <c r="I12" s="2"/>
      <c r="J12" s="2"/>
      <c r="K12" s="2"/>
      <c r="L12" s="2"/>
      <c r="M12" s="2"/>
      <c r="N12" s="2"/>
      <c r="O12" s="2"/>
      <c r="P12" s="2"/>
      <c r="Q12" s="2"/>
      <c r="R12" s="2"/>
      <c r="S12" s="2"/>
      <c r="T12" s="2"/>
      <c r="U12" s="2"/>
      <c r="V12" s="2"/>
      <c r="W12" s="2"/>
      <c r="X12" s="2"/>
      <c r="Y12" s="2"/>
      <c r="Z12" s="2"/>
      <c r="AA12" s="2"/>
    </row>
    <row r="13" spans="2:27" ht="45.75" customHeight="1" x14ac:dyDescent="0.2">
      <c r="B13" s="2" t="s">
        <v>17</v>
      </c>
      <c r="C13" s="2" t="s">
        <v>25</v>
      </c>
      <c r="D13" s="4">
        <v>10</v>
      </c>
      <c r="E13" s="2"/>
      <c r="F13" s="6" t="s">
        <v>26</v>
      </c>
      <c r="G13" s="2"/>
      <c r="H13" s="2"/>
      <c r="I13" s="2"/>
      <c r="J13" s="2"/>
      <c r="K13" s="2"/>
      <c r="L13" s="2"/>
      <c r="M13" s="2"/>
      <c r="N13" s="2"/>
      <c r="O13" s="2"/>
      <c r="P13" s="2"/>
      <c r="Q13" s="2"/>
      <c r="R13" s="2"/>
      <c r="S13" s="2"/>
      <c r="T13" s="2"/>
      <c r="U13" s="2"/>
      <c r="V13" s="2"/>
      <c r="W13" s="2"/>
      <c r="X13" s="2"/>
      <c r="Y13" s="2"/>
      <c r="Z13" s="2"/>
      <c r="AA13" s="2"/>
    </row>
    <row r="14" spans="2:27" ht="30.5" customHeight="1" x14ac:dyDescent="0.2">
      <c r="B14" s="2" t="s">
        <v>17</v>
      </c>
      <c r="C14" s="2" t="s">
        <v>27</v>
      </c>
      <c r="D14" s="4">
        <v>25</v>
      </c>
      <c r="E14" s="2" t="s">
        <v>28</v>
      </c>
      <c r="F14" s="6" t="s">
        <v>29</v>
      </c>
      <c r="G14" s="2"/>
      <c r="H14" s="2"/>
      <c r="I14" s="2"/>
      <c r="J14" s="2"/>
      <c r="K14" s="2"/>
      <c r="L14" s="2"/>
      <c r="M14" s="2"/>
      <c r="N14" s="2"/>
      <c r="O14" s="2"/>
      <c r="P14" s="2"/>
      <c r="Q14" s="2"/>
      <c r="R14" s="2"/>
      <c r="S14" s="2"/>
      <c r="T14" s="2"/>
      <c r="U14" s="2"/>
      <c r="V14" s="2"/>
      <c r="W14" s="2"/>
      <c r="X14" s="2"/>
      <c r="Y14" s="2"/>
      <c r="Z14" s="2"/>
      <c r="AA14" s="2"/>
    </row>
    <row r="15" spans="2:27" ht="61.25" customHeight="1" x14ac:dyDescent="0.2">
      <c r="B15" s="2" t="s">
        <v>17</v>
      </c>
      <c r="C15" s="2" t="s">
        <v>30</v>
      </c>
      <c r="D15" s="4">
        <v>200</v>
      </c>
      <c r="E15" s="2" t="s">
        <v>28</v>
      </c>
      <c r="F15" s="6" t="s">
        <v>31</v>
      </c>
      <c r="G15" s="2"/>
      <c r="H15" s="2"/>
      <c r="I15" s="2"/>
      <c r="J15" s="2"/>
      <c r="K15" s="2"/>
      <c r="L15" s="2"/>
      <c r="M15" s="2"/>
      <c r="N15" s="2"/>
      <c r="O15" s="2"/>
      <c r="P15" s="2"/>
      <c r="Q15" s="2"/>
      <c r="R15" s="2"/>
      <c r="S15" s="2"/>
      <c r="T15" s="2"/>
      <c r="U15" s="2"/>
      <c r="V15" s="2"/>
      <c r="W15" s="2"/>
      <c r="X15" s="2"/>
      <c r="Y15" s="2"/>
      <c r="Z15" s="2"/>
      <c r="AA15" s="2"/>
    </row>
    <row r="16" spans="2:27" ht="41" customHeight="1" x14ac:dyDescent="0.2">
      <c r="B16" s="7"/>
      <c r="C16" s="7"/>
      <c r="D16" s="7"/>
      <c r="E16" s="7"/>
      <c r="F16" s="7"/>
      <c r="G16" s="2"/>
      <c r="H16" s="2"/>
      <c r="I16" s="2"/>
      <c r="J16" s="2"/>
      <c r="K16" s="2"/>
      <c r="L16" s="2"/>
      <c r="M16" s="2"/>
      <c r="N16" s="2"/>
      <c r="O16" s="2"/>
      <c r="P16" s="2"/>
      <c r="Q16" s="2"/>
      <c r="R16" s="2"/>
      <c r="S16" s="2"/>
      <c r="T16" s="2"/>
      <c r="U16" s="2"/>
      <c r="V16" s="2"/>
      <c r="W16" s="2"/>
      <c r="X16" s="2"/>
      <c r="Y16" s="2"/>
      <c r="Z16" s="2"/>
      <c r="AA16" s="2"/>
    </row>
    <row r="17" spans="2:27" ht="30.5" customHeight="1" x14ac:dyDescent="0.2">
      <c r="B17" s="2" t="s">
        <v>32</v>
      </c>
      <c r="C17" s="6" t="s">
        <v>33</v>
      </c>
      <c r="D17" s="4">
        <f>(D6*1.1*(4*D5+8*D7))/(1024*1024*1024)</f>
        <v>6556.5109252929688</v>
      </c>
      <c r="E17" s="2" t="s">
        <v>19</v>
      </c>
      <c r="F17" s="6" t="s">
        <v>34</v>
      </c>
      <c r="G17" s="2"/>
      <c r="H17" s="2"/>
      <c r="I17" s="2"/>
      <c r="J17" s="2"/>
      <c r="K17" s="2"/>
      <c r="L17" s="2"/>
      <c r="M17" s="2"/>
      <c r="N17" s="2"/>
      <c r="O17" s="2"/>
      <c r="P17" s="2"/>
      <c r="Q17" s="2"/>
      <c r="R17" s="2"/>
      <c r="S17" s="2"/>
      <c r="T17" s="2"/>
      <c r="U17" s="2"/>
      <c r="V17" s="2"/>
      <c r="W17" s="2"/>
      <c r="X17" s="2"/>
      <c r="Y17" s="2"/>
      <c r="Z17" s="2"/>
      <c r="AA17" s="2"/>
    </row>
    <row r="18" spans="2:27" x14ac:dyDescent="0.2">
      <c r="B18" s="2" t="s">
        <v>32</v>
      </c>
      <c r="C18" s="2" t="s">
        <v>35</v>
      </c>
      <c r="D18" s="4">
        <f>D17*D11</f>
        <v>11801.719665527344</v>
      </c>
      <c r="E18" s="2" t="s">
        <v>19</v>
      </c>
      <c r="F18" s="2" t="s">
        <v>36</v>
      </c>
      <c r="G18" s="2"/>
      <c r="H18" s="2"/>
      <c r="I18" s="2"/>
      <c r="J18" s="2"/>
      <c r="K18" s="2"/>
      <c r="L18" s="2"/>
      <c r="M18" s="2"/>
      <c r="N18" s="2"/>
      <c r="O18" s="2"/>
      <c r="P18" s="2"/>
      <c r="Q18" s="2"/>
      <c r="R18" s="2"/>
      <c r="S18" s="2"/>
      <c r="T18" s="2"/>
      <c r="U18" s="2"/>
      <c r="V18" s="2"/>
      <c r="W18" s="2"/>
      <c r="X18" s="2"/>
      <c r="Y18" s="2"/>
      <c r="Z18" s="2"/>
      <c r="AA18" s="2"/>
    </row>
    <row r="19" spans="2:27" ht="30.5" customHeight="1" x14ac:dyDescent="0.2">
      <c r="B19" s="2" t="s">
        <v>32</v>
      </c>
      <c r="C19" s="6" t="s">
        <v>37</v>
      </c>
      <c r="D19" s="4">
        <f>D18*(1+D8)</f>
        <v>23603.439331054688</v>
      </c>
      <c r="E19" s="2" t="s">
        <v>19</v>
      </c>
      <c r="F19" s="2" t="s">
        <v>38</v>
      </c>
      <c r="G19" s="2"/>
      <c r="H19" s="2"/>
      <c r="I19" s="2"/>
      <c r="J19" s="2"/>
      <c r="K19" s="2"/>
      <c r="L19" s="2"/>
      <c r="M19" s="2"/>
      <c r="N19" s="2"/>
      <c r="O19" s="2"/>
      <c r="P19" s="2"/>
      <c r="Q19" s="2"/>
      <c r="R19" s="2"/>
      <c r="S19" s="2"/>
      <c r="T19" s="2"/>
      <c r="U19" s="2"/>
      <c r="V19" s="2"/>
      <c r="W19" s="2"/>
      <c r="X19" s="2"/>
      <c r="Y19" s="2"/>
      <c r="Z19" s="2"/>
      <c r="AA19" s="2"/>
    </row>
    <row r="20" spans="2:27" x14ac:dyDescent="0.2">
      <c r="B20" s="2" t="s">
        <v>32</v>
      </c>
      <c r="C20" s="2" t="s">
        <v>39</v>
      </c>
      <c r="D20" s="4">
        <f>D10*D11</f>
        <v>36</v>
      </c>
      <c r="E20" s="2" t="s">
        <v>19</v>
      </c>
      <c r="F20" s="2" t="s">
        <v>40</v>
      </c>
      <c r="G20" s="2"/>
      <c r="H20" s="2"/>
      <c r="I20" s="2"/>
      <c r="J20" s="2"/>
      <c r="K20" s="2"/>
      <c r="L20" s="2"/>
      <c r="M20" s="2"/>
      <c r="N20" s="2"/>
      <c r="O20" s="2"/>
      <c r="P20" s="2"/>
      <c r="Q20" s="2"/>
      <c r="R20" s="2"/>
      <c r="S20" s="2"/>
      <c r="T20" s="2"/>
      <c r="U20" s="2"/>
      <c r="V20" s="2"/>
      <c r="W20" s="2"/>
      <c r="X20" s="2"/>
      <c r="Y20" s="2"/>
      <c r="Z20" s="2"/>
      <c r="AA20" s="2"/>
    </row>
    <row r="21" spans="2:27" x14ac:dyDescent="0.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2:27" ht="30.5" customHeight="1" x14ac:dyDescent="0.2">
      <c r="B22" s="2" t="s">
        <v>32</v>
      </c>
      <c r="C22" s="2" t="s">
        <v>41</v>
      </c>
      <c r="D22" s="4">
        <f>CEILING(D17/D10,1)</f>
        <v>328</v>
      </c>
      <c r="E22" s="2"/>
      <c r="F22" s="6" t="s">
        <v>42</v>
      </c>
      <c r="G22" s="2"/>
      <c r="H22" s="2"/>
      <c r="I22" s="2"/>
      <c r="J22" s="2"/>
      <c r="K22" s="2"/>
      <c r="L22" s="2"/>
      <c r="M22" s="2"/>
      <c r="N22" s="2"/>
      <c r="O22" s="2"/>
      <c r="P22" s="2"/>
      <c r="Q22" s="2"/>
      <c r="R22" s="2"/>
      <c r="S22" s="2"/>
      <c r="T22" s="2"/>
      <c r="U22" s="2"/>
      <c r="V22" s="2"/>
      <c r="W22" s="2"/>
      <c r="X22" s="2"/>
      <c r="Y22" s="2"/>
      <c r="Z22" s="2"/>
      <c r="AA22" s="2"/>
    </row>
    <row r="23" spans="2:27" ht="45.75" customHeight="1" x14ac:dyDescent="0.2">
      <c r="B23" s="2" t="s">
        <v>32</v>
      </c>
      <c r="C23" s="2" t="s">
        <v>43</v>
      </c>
      <c r="D23" s="4">
        <f>D20*D12</f>
        <v>288</v>
      </c>
      <c r="E23" s="2" t="s">
        <v>19</v>
      </c>
      <c r="F23" s="6" t="s">
        <v>44</v>
      </c>
      <c r="G23" s="2"/>
      <c r="H23" s="2"/>
      <c r="I23" s="2"/>
      <c r="J23" s="2"/>
      <c r="K23" s="2"/>
      <c r="L23" s="2"/>
      <c r="M23" s="2"/>
      <c r="N23" s="2"/>
      <c r="O23" s="2"/>
      <c r="P23" s="2"/>
      <c r="Q23" s="2"/>
      <c r="R23" s="2"/>
      <c r="S23" s="2"/>
      <c r="T23" s="2"/>
      <c r="U23" s="2"/>
      <c r="V23" s="2"/>
      <c r="W23" s="2"/>
      <c r="X23" s="2"/>
      <c r="Y23" s="2"/>
      <c r="Z23" s="2"/>
      <c r="AA23" s="2"/>
    </row>
    <row r="24" spans="2:27" ht="30.5" customHeight="1" x14ac:dyDescent="0.2">
      <c r="B24" s="2" t="s">
        <v>32</v>
      </c>
      <c r="C24" s="2" t="s">
        <v>45</v>
      </c>
      <c r="D24" s="4">
        <f>2*D23</f>
        <v>576</v>
      </c>
      <c r="E24" s="2" t="s">
        <v>19</v>
      </c>
      <c r="F24" s="6" t="s">
        <v>46</v>
      </c>
      <c r="G24" s="2"/>
      <c r="H24" s="2"/>
      <c r="I24" s="2"/>
      <c r="J24" s="2"/>
      <c r="K24" s="2"/>
      <c r="L24" s="2"/>
      <c r="M24" s="2"/>
      <c r="N24" s="2"/>
      <c r="O24" s="2"/>
      <c r="P24" s="2"/>
      <c r="Q24" s="2"/>
      <c r="R24" s="2"/>
      <c r="S24" s="2"/>
      <c r="T24" s="2"/>
      <c r="U24" s="2"/>
      <c r="V24" s="2"/>
      <c r="W24" s="2"/>
      <c r="X24" s="2"/>
      <c r="Y24" s="2"/>
      <c r="Z24" s="2"/>
      <c r="AA24" s="2"/>
    </row>
    <row r="25" spans="2:27" x14ac:dyDescent="0.2">
      <c r="B25" s="2" t="s">
        <v>32</v>
      </c>
      <c r="C25" s="2" t="s">
        <v>47</v>
      </c>
      <c r="D25" s="4">
        <f>D24*((100+D14)/100)</f>
        <v>720</v>
      </c>
      <c r="E25" s="2" t="s">
        <v>19</v>
      </c>
      <c r="F25" s="2" t="s">
        <v>48</v>
      </c>
      <c r="G25" s="2"/>
      <c r="H25" s="2"/>
      <c r="I25" s="2"/>
      <c r="J25" s="2"/>
      <c r="K25" s="2"/>
      <c r="L25" s="2"/>
      <c r="M25" s="2"/>
      <c r="N25" s="2"/>
      <c r="O25" s="2"/>
      <c r="P25" s="2"/>
      <c r="Q25" s="2"/>
      <c r="R25" s="2"/>
      <c r="S25" s="2"/>
      <c r="T25" s="2"/>
      <c r="U25" s="2"/>
      <c r="V25" s="2"/>
      <c r="W25" s="2"/>
      <c r="X25" s="2"/>
      <c r="Y25" s="2"/>
      <c r="Z25" s="2"/>
      <c r="AA25" s="2"/>
    </row>
    <row r="26" spans="2:27" ht="30.5" customHeight="1" x14ac:dyDescent="0.2">
      <c r="B26" s="2" t="s">
        <v>32</v>
      </c>
      <c r="C26" s="2" t="s">
        <v>49</v>
      </c>
      <c r="D26" s="4">
        <f>CEILING((D22*(1+D8))/D12,1)</f>
        <v>82</v>
      </c>
      <c r="E26" s="2"/>
      <c r="F26" s="6" t="s">
        <v>50</v>
      </c>
      <c r="G26" s="2"/>
      <c r="H26" s="2"/>
      <c r="I26" s="2"/>
      <c r="J26" s="2"/>
      <c r="K26" s="2"/>
      <c r="L26" s="2"/>
      <c r="M26" s="2"/>
      <c r="N26" s="2"/>
      <c r="O26" s="2"/>
      <c r="P26" s="2"/>
      <c r="Q26" s="2"/>
      <c r="R26" s="2"/>
      <c r="S26" s="2"/>
      <c r="T26" s="2"/>
      <c r="U26" s="2"/>
      <c r="V26" s="2"/>
      <c r="W26" s="2"/>
      <c r="X26" s="2"/>
      <c r="Y26" s="2"/>
      <c r="Z26" s="2"/>
      <c r="AA26" s="2"/>
    </row>
    <row r="27" spans="2:27" x14ac:dyDescent="0.2">
      <c r="B27" s="2" t="s">
        <v>32</v>
      </c>
      <c r="C27" s="2" t="s">
        <v>51</v>
      </c>
      <c r="D27" s="4">
        <f>CEILING(D25/D13,1)</f>
        <v>72</v>
      </c>
      <c r="E27" s="2"/>
      <c r="F27" s="2" t="s">
        <v>52</v>
      </c>
      <c r="G27" s="2"/>
      <c r="H27" s="2"/>
      <c r="I27" s="2"/>
      <c r="J27" s="2"/>
      <c r="K27" s="2"/>
      <c r="L27" s="2"/>
      <c r="M27" s="2"/>
      <c r="N27" s="2"/>
      <c r="O27" s="2"/>
      <c r="P27" s="2"/>
      <c r="Q27" s="2"/>
      <c r="R27" s="2"/>
      <c r="S27" s="2"/>
      <c r="T27" s="2"/>
      <c r="U27" s="2"/>
      <c r="V27" s="2"/>
      <c r="W27" s="2"/>
      <c r="X27" s="2"/>
      <c r="Y27" s="2"/>
      <c r="Z27" s="2"/>
      <c r="AA27" s="2"/>
    </row>
    <row r="28" spans="2:27" ht="30.5" customHeight="1" x14ac:dyDescent="0.2">
      <c r="B28" s="2" t="s">
        <v>32</v>
      </c>
      <c r="C28" s="2" t="s">
        <v>53</v>
      </c>
      <c r="D28" s="4">
        <f>CEILING(D19/D26,100)*((100+D15)/100)</f>
        <v>900</v>
      </c>
      <c r="E28" s="2" t="s">
        <v>19</v>
      </c>
      <c r="F28" s="6" t="s">
        <v>54</v>
      </c>
      <c r="G28" s="2"/>
      <c r="H28" s="2"/>
      <c r="I28" s="2"/>
      <c r="J28" s="2"/>
      <c r="K28" s="2"/>
      <c r="L28" s="2"/>
      <c r="M28" s="2"/>
      <c r="N28" s="2"/>
      <c r="O28" s="2"/>
      <c r="P28" s="2"/>
      <c r="Q28" s="2"/>
      <c r="R28" s="2"/>
      <c r="S28" s="2"/>
      <c r="T28" s="2"/>
      <c r="U28" s="2"/>
      <c r="V28" s="2"/>
      <c r="W28" s="2"/>
      <c r="X28" s="2"/>
      <c r="Y28" s="2"/>
      <c r="Z28" s="2"/>
      <c r="AA28" s="2"/>
    </row>
    <row r="29" spans="2:27" x14ac:dyDescent="0.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2:27" x14ac:dyDescent="0.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2:27" x14ac:dyDescent="0.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2:27" x14ac:dyDescent="0.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2:27" x14ac:dyDescent="0.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2:27" x14ac:dyDescent="0.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x14ac:dyDescent="0.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2:27" x14ac:dyDescent="0.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2:27" x14ac:dyDescent="0.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2:27" x14ac:dyDescent="0.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2:27" x14ac:dyDescent="0.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2:27" x14ac:dyDescent="0.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2:27" x14ac:dyDescent="0.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2:27" x14ac:dyDescent="0.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2:27" x14ac:dyDescent="0.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2:27" x14ac:dyDescent="0.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2:27" x14ac:dyDescent="0.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2:27" x14ac:dyDescent="0.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2:27" x14ac:dyDescent="0.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2:27" x14ac:dyDescent="0.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2:27" x14ac:dyDescent="0.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2:27" x14ac:dyDescent="0.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2:27" x14ac:dyDescent="0.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2:27" x14ac:dyDescent="0.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2:27" x14ac:dyDescent="0.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2:27" x14ac:dyDescent="0.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2:27" x14ac:dyDescent="0.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x14ac:dyDescent="0.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2:27" x14ac:dyDescent="0.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2:27" x14ac:dyDescent="0.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2:27" x14ac:dyDescent="0.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2:27" x14ac:dyDescent="0.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2:27" x14ac:dyDescent="0.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2:27" x14ac:dyDescent="0.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2:27" x14ac:dyDescent="0.2">
      <c r="B63" s="2"/>
      <c r="C63" s="2"/>
      <c r="D63" s="2"/>
      <c r="E63" s="2"/>
      <c r="F63" s="2"/>
      <c r="G63" s="2"/>
      <c r="H63" s="2"/>
      <c r="I63" s="2"/>
      <c r="J63" s="2"/>
      <c r="K63" s="2"/>
      <c r="L63" s="2"/>
      <c r="M63" s="2"/>
      <c r="N63" s="2"/>
      <c r="O63" s="2"/>
      <c r="P63" s="2"/>
      <c r="Q63" s="2"/>
      <c r="R63" s="2"/>
      <c r="S63" s="2"/>
      <c r="T63" s="2"/>
      <c r="U63" s="2"/>
      <c r="V63" s="2"/>
      <c r="W63" s="2"/>
      <c r="X63" s="2"/>
      <c r="Y63" s="2"/>
      <c r="Z63" s="2"/>
      <c r="AA63" s="2"/>
    </row>
  </sheetData>
  <mergeCells count="2">
    <mergeCell ref="B9:F9"/>
    <mergeCell ref="B16:F16"/>
  </mergeCells>
  <pageMargins left="0.7" right="0.7" top="0.75" bottom="0.75" header="0.3" footer="0.3"/>
  <pageSetup orientation="portrait" horizontalDpi="4294967295" verticalDpi="4294967295"/>
  <headerFooter>
    <oddHeader>&amp;L&amp;"Aptos"&amp;10&amp;K000000 Confidential - Oracle Restricted \Employees Only&amp;1#_x000D_</oddHeader>
    <oddFooter>&amp;L_x000D_&amp;1#&amp;"Aptos"&amp;10&amp;K000000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2026-06-01T04:19:06Z</dcterms:created>
  <dcterms:modified xsi:type="dcterms:W3CDTF">2026-06-01T04:20:05Z</dcterms:modified>
  <cp:category/>
</cp:coreProperties>
</file>